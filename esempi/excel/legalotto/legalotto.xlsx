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7d6db9afa7f857e/Desktop/Sire activity/ArInt/Case Forgital/icertificatimateriale/2-contenitori dati/"/>
    </mc:Choice>
  </mc:AlternateContent>
  <xr:revisionPtr revIDLastSave="1" documentId="8_{FB84B661-7E6C-4203-949B-399B5C953DDD}" xr6:coauthVersionLast="47" xr6:coauthVersionMax="47" xr10:uidLastSave="{69C14BC8-16B2-4CA1-B6EA-F27641269090}"/>
  <bookViews>
    <workbookView xWindow="-120" yWindow="-120" windowWidth="29040" windowHeight="15720" xr2:uid="{E1B241C7-B4EC-4520-A23D-16B3095E9A03}"/>
  </bookViews>
  <sheets>
    <sheet name="Foglio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6" i="1" l="1"/>
  <c r="AP6" i="1"/>
  <c r="AO6" i="1"/>
  <c r="AN6" i="1"/>
  <c r="X6" i="1"/>
  <c r="T6" i="1"/>
  <c r="S6" i="1"/>
  <c r="AV5" i="1"/>
  <c r="AP5" i="1"/>
  <c r="AO5" i="1"/>
  <c r="AN5" i="1"/>
  <c r="X5" i="1"/>
  <c r="T5" i="1"/>
  <c r="S5" i="1"/>
  <c r="AV4" i="1"/>
  <c r="AP4" i="1"/>
  <c r="AO4" i="1"/>
  <c r="AN4" i="1"/>
  <c r="X4" i="1"/>
  <c r="T4" i="1"/>
  <c r="V2" i="1" s="1"/>
  <c r="S4" i="1"/>
</calcChain>
</file>

<file path=xl/sharedStrings.xml><?xml version="1.0" encoding="utf-8"?>
<sst xmlns="http://schemas.openxmlformats.org/spreadsheetml/2006/main" count="77" uniqueCount="53">
  <si>
    <t>COMPILATORE CERTIFICATI</t>
  </si>
  <si>
    <t>N°</t>
  </si>
  <si>
    <t>data ricezione</t>
  </si>
  <si>
    <t xml:space="preserve">data accettazione </t>
  </si>
  <si>
    <t>Fornitore</t>
  </si>
  <si>
    <t xml:space="preserve">lega </t>
  </si>
  <si>
    <t>Ø</t>
  </si>
  <si>
    <t>Cdq</t>
  </si>
  <si>
    <t>Colata</t>
  </si>
  <si>
    <t>Ddt</t>
  </si>
  <si>
    <t>peso Kg</t>
  </si>
  <si>
    <t>ordine</t>
  </si>
  <si>
    <t>data richie.</t>
  </si>
  <si>
    <t>N° Analisi</t>
  </si>
  <si>
    <t>Valutazioni</t>
  </si>
  <si>
    <t>note</t>
  </si>
  <si>
    <t>Ritardo</t>
  </si>
  <si>
    <t>Tempo di controllo (Giorni)</t>
  </si>
  <si>
    <t>Tempo medio di controllo</t>
  </si>
  <si>
    <t>CdQ</t>
  </si>
  <si>
    <t>Si</t>
  </si>
  <si>
    <t>Fe</t>
  </si>
  <si>
    <t>Cu</t>
  </si>
  <si>
    <t>Mn</t>
  </si>
  <si>
    <t>Mg</t>
  </si>
  <si>
    <t>Cr</t>
  </si>
  <si>
    <t>Ni</t>
  </si>
  <si>
    <t>Zn</t>
  </si>
  <si>
    <t>Ti</t>
  </si>
  <si>
    <t>Pb</t>
  </si>
  <si>
    <t>V</t>
  </si>
  <si>
    <t>Bi</t>
  </si>
  <si>
    <t>Sn</t>
  </si>
  <si>
    <t>Zr</t>
  </si>
  <si>
    <t>Be</t>
  </si>
  <si>
    <t>Zr+Ti</t>
  </si>
  <si>
    <t>Mn+Cr</t>
  </si>
  <si>
    <t>Bi+Pb</t>
  </si>
  <si>
    <r>
      <t xml:space="preserve">VALORI MINIMI DEL CERTIFICATO FORNITORE      </t>
    </r>
    <r>
      <rPr>
        <b/>
        <sz val="10"/>
        <color theme="0"/>
        <rFont val="Arial"/>
        <family val="2"/>
      </rPr>
      <t>_</t>
    </r>
    <r>
      <rPr>
        <b/>
        <sz val="10"/>
        <color rgb="FF00B0F0"/>
        <rFont val="Arial"/>
        <family val="2"/>
      </rPr>
      <t xml:space="preserve">  </t>
    </r>
    <r>
      <rPr>
        <b/>
        <sz val="10"/>
        <rFont val="Arial"/>
        <family val="2"/>
      </rPr>
      <t>HB          Rp0,2          Rm            A%      Rp0,2 / Rm</t>
    </r>
  </si>
  <si>
    <t>(mm)</t>
  </si>
  <si>
    <t>consegna</t>
  </si>
  <si>
    <t>A</t>
  </si>
  <si>
    <t>AR</t>
  </si>
  <si>
    <t>R</t>
  </si>
  <si>
    <t>Neuman Aluminium</t>
  </si>
  <si>
    <t>71015878</t>
  </si>
  <si>
    <r>
      <t>A</t>
    </r>
    <r>
      <rPr>
        <sz val="10"/>
        <rFont val="Arial"/>
        <family val="2"/>
      </rPr>
      <t>ccettato</t>
    </r>
  </si>
  <si>
    <t>eti</t>
  </si>
  <si>
    <t>/</t>
  </si>
  <si>
    <t>75716074</t>
  </si>
  <si>
    <r>
      <t>A</t>
    </r>
    <r>
      <rPr>
        <sz val="10"/>
        <rFont val="Arial"/>
        <family val="2"/>
      </rPr>
      <t xml:space="preserve">cc.con </t>
    </r>
    <r>
      <rPr>
        <b/>
        <sz val="10"/>
        <color indexed="12"/>
        <rFont val="Arial"/>
        <family val="2"/>
      </rPr>
      <t>R</t>
    </r>
    <r>
      <rPr>
        <sz val="10"/>
        <rFont val="Arial"/>
        <family val="2"/>
      </rPr>
      <t>iserva</t>
    </r>
  </si>
  <si>
    <t>26088</t>
  </si>
  <si>
    <r>
      <t>R</t>
    </r>
    <r>
      <rPr>
        <sz val="10"/>
        <rFont val="Arial"/>
        <family val="2"/>
      </rPr>
      <t>espinto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</si>
</sst>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0.0000"/>
  </numFmts>
  <fonts count="17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name val="Tahoma"/>
      <family val="2"/>
    </font>
    <font>
      <sz val="10"/>
      <color theme="1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b/>
      <sz val="10"/>
      <color rgb="FF00B0F0"/>
      <name val="Arial"/>
      <family val="2"/>
    </font>
    <font>
      <b/>
      <sz val="10"/>
      <color theme="0"/>
      <name val="Arial"/>
      <family val="2"/>
    </font>
    <font>
      <sz val="9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color indexed="12"/>
      <name val="Arial"/>
      <family val="2"/>
    </font>
    <font>
      <sz val="11"/>
      <name val="Arial"/>
      <family val="2"/>
    </font>
    <font>
      <sz val="10"/>
      <color indexed="12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1">
    <xf numFmtId="0" fontId="0" fillId="0" borderId="0" xfId="0"/>
    <xf numFmtId="14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left"/>
    </xf>
    <xf numFmtId="0" fontId="5" fillId="0" borderId="2" xfId="0" applyFont="1" applyBorder="1" applyAlignment="1">
      <alignment horizontal="center" wrapText="1"/>
    </xf>
    <xf numFmtId="164" fontId="5" fillId="0" borderId="2" xfId="0" applyNumberFormat="1" applyFont="1" applyBorder="1" applyAlignment="1">
      <alignment horizontal="center" wrapText="1"/>
    </xf>
    <xf numFmtId="164" fontId="5" fillId="0" borderId="2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49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left" wrapText="1"/>
    </xf>
    <xf numFmtId="0" fontId="5" fillId="0" borderId="2" xfId="0" applyFont="1" applyBorder="1" applyAlignment="1">
      <alignment horizontal="left" textRotation="90"/>
    </xf>
    <xf numFmtId="164" fontId="4" fillId="0" borderId="2" xfId="0" applyNumberFormat="1" applyFont="1" applyBorder="1" applyAlignment="1">
      <alignment horizontal="center"/>
    </xf>
    <xf numFmtId="0" fontId="4" fillId="0" borderId="2" xfId="0" applyFont="1" applyBorder="1" applyAlignment="1">
      <alignment horizontal="left" textRotation="90"/>
    </xf>
    <xf numFmtId="0" fontId="5" fillId="0" borderId="3" xfId="0" applyFont="1" applyBorder="1" applyAlignment="1">
      <alignment horizontal="center"/>
    </xf>
    <xf numFmtId="0" fontId="5" fillId="0" borderId="0" xfId="0" applyFont="1" applyAlignment="1">
      <alignment horizontal="center"/>
    </xf>
    <xf numFmtId="1" fontId="5" fillId="0" borderId="0" xfId="0" applyNumberFormat="1" applyFont="1" applyAlignment="1">
      <alignment horizontal="center" textRotation="90"/>
    </xf>
    <xf numFmtId="1" fontId="5" fillId="0" borderId="0" xfId="0" applyNumberFormat="1" applyFont="1" applyAlignment="1">
      <alignment horizontal="center" wrapText="1"/>
    </xf>
    <xf numFmtId="1" fontId="5" fillId="0" borderId="4" xfId="0" applyNumberFormat="1" applyFont="1" applyBorder="1" applyAlignment="1">
      <alignment horizontal="center" wrapText="1"/>
    </xf>
    <xf numFmtId="2" fontId="5" fillId="0" borderId="5" xfId="0" applyNumberFormat="1" applyFont="1" applyBorder="1" applyAlignment="1">
      <alignment horizontal="center" vertical="center" wrapText="1"/>
    </xf>
    <xf numFmtId="0" fontId="1" fillId="0" borderId="0" xfId="1" applyAlignment="1" applyProtection="1"/>
    <xf numFmtId="0" fontId="8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164" fontId="5" fillId="0" borderId="9" xfId="0" applyNumberFormat="1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49" fontId="0" fillId="0" borderId="9" xfId="0" applyNumberFormat="1" applyBorder="1" applyAlignment="1">
      <alignment horizontal="center"/>
    </xf>
    <xf numFmtId="164" fontId="4" fillId="0" borderId="9" xfId="0" applyNumberFormat="1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1" fontId="5" fillId="0" borderId="0" xfId="0" applyNumberFormat="1" applyFont="1" applyAlignment="1">
      <alignment horizontal="center"/>
    </xf>
    <xf numFmtId="0" fontId="5" fillId="0" borderId="0" xfId="0" applyFont="1"/>
    <xf numFmtId="164" fontId="5" fillId="0" borderId="0" xfId="0" applyNumberFormat="1" applyFont="1" applyAlignment="1">
      <alignment horizontal="center"/>
    </xf>
    <xf numFmtId="164" fontId="12" fillId="0" borderId="0" xfId="0" applyNumberFormat="1" applyFont="1" applyAlignment="1">
      <alignment horizontal="center"/>
    </xf>
    <xf numFmtId="1" fontId="13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49" fontId="13" fillId="0" borderId="0" xfId="0" applyNumberFormat="1" applyFont="1" applyAlignment="1">
      <alignment horizontal="center"/>
    </xf>
    <xf numFmtId="164" fontId="13" fillId="0" borderId="0" xfId="0" applyNumberFormat="1" applyFont="1" applyAlignment="1">
      <alignment horizontal="center"/>
    </xf>
    <xf numFmtId="0" fontId="14" fillId="0" borderId="11" xfId="0" applyFont="1" applyBorder="1"/>
    <xf numFmtId="0" fontId="14" fillId="0" borderId="0" xfId="0" applyFont="1"/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3" fillId="0" borderId="6" xfId="0" applyFont="1" applyBorder="1" applyAlignment="1">
      <alignment horizontal="center"/>
    </xf>
    <xf numFmtId="165" fontId="0" fillId="0" borderId="0" xfId="0" applyNumberFormat="1"/>
    <xf numFmtId="49" fontId="5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49" fontId="6" fillId="0" borderId="0" xfId="0" applyNumberFormat="1" applyFont="1" applyAlignment="1">
      <alignment horizontal="center"/>
    </xf>
    <xf numFmtId="0" fontId="14" fillId="0" borderId="12" xfId="0" applyFont="1" applyBorder="1"/>
    <xf numFmtId="0" fontId="9" fillId="0" borderId="0" xfId="0" applyFont="1" applyAlignment="1">
      <alignment horizontal="center" wrapText="1"/>
    </xf>
    <xf numFmtId="0" fontId="1" fillId="0" borderId="0" xfId="1" applyAlignment="1" applyProtection="1">
      <alignment horizontal="center"/>
    </xf>
    <xf numFmtId="0" fontId="8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4" fillId="0" borderId="2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</cellXfs>
  <cellStyles count="2">
    <cellStyle name="Collegamento ipertestuale" xfId="1" builtinId="8"/>
    <cellStyle name="Normale" xfId="0" builtinId="0"/>
  </cellStyles>
  <dxfs count="2">
    <dxf>
      <font>
        <color rgb="FFFF0000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87d6db9afa7f857e/Desktop/Sire%20activity/ArInt/Case%20Forgital/icertificatimateriale/2-contenitori%20dati/Ric_Lega%202026_senza%20pw2.xlsx" TargetMode="External"/><Relationship Id="rId1" Type="http://schemas.openxmlformats.org/officeDocument/2006/relationships/externalLinkPath" Target="Ric_Lega%202026_senza%20pw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conic Hannover"/>
      <sheetName val="Aluminium Bz"/>
      <sheetName val="AWW"/>
      <sheetName val="Grupa Kety"/>
      <sheetName val="Leichtmetall A"/>
      <sheetName val="Metalba"/>
      <sheetName val="Impol"/>
      <sheetName val="Zalco"/>
      <sheetName val="Prove"/>
      <sheetName val="Varie"/>
      <sheetName val="total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9">
          <cell r="AN9">
            <v>46118</v>
          </cell>
        </row>
        <row r="10">
          <cell r="AN10">
            <v>46143</v>
          </cell>
        </row>
        <row r="11">
          <cell r="AN11">
            <v>46175</v>
          </cell>
        </row>
        <row r="12">
          <cell r="AN12">
            <v>46364</v>
          </cell>
        </row>
      </sheetData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../../../../../../_Prova%20Analisi_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1A5D1-FA0C-4A44-8072-7461A3E9E3C9}">
  <dimension ref="A1:AV6"/>
  <sheetViews>
    <sheetView tabSelected="1" workbookViewId="0">
      <selection activeCell="AR2" sqref="AR2:AV3"/>
    </sheetView>
  </sheetViews>
  <sheetFormatPr defaultRowHeight="15" x14ac:dyDescent="0.25"/>
  <sheetData>
    <row r="1" spans="1:48" ht="15.75" thickBot="1" x14ac:dyDescent="0.3">
      <c r="A1" s="56"/>
      <c r="B1" s="56"/>
      <c r="C1" s="57"/>
      <c r="D1" s="57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1"/>
      <c r="W1" s="2"/>
      <c r="X1" s="3"/>
      <c r="Y1" s="2"/>
      <c r="Z1" s="2"/>
      <c r="AA1" s="2"/>
      <c r="AB1" s="2"/>
      <c r="AC1" s="2"/>
      <c r="AD1" s="2"/>
      <c r="AE1" s="2"/>
      <c r="AF1" s="54" t="s">
        <v>0</v>
      </c>
      <c r="AG1" s="54"/>
      <c r="AH1" s="54"/>
      <c r="AI1" s="54"/>
      <c r="AJ1" s="2"/>
      <c r="AK1" s="2"/>
      <c r="AL1" s="2"/>
      <c r="AM1" s="2"/>
      <c r="AN1" s="2"/>
      <c r="AO1" s="2"/>
      <c r="AP1" s="2"/>
    </row>
    <row r="2" spans="1:48" ht="39.75" x14ac:dyDescent="0.25">
      <c r="A2" s="4" t="s">
        <v>1</v>
      </c>
      <c r="B2" s="5" t="s">
        <v>2</v>
      </c>
      <c r="C2" s="6" t="s">
        <v>3</v>
      </c>
      <c r="D2" s="7" t="s">
        <v>4</v>
      </c>
      <c r="E2" s="8" t="s">
        <v>5</v>
      </c>
      <c r="F2" s="8" t="s">
        <v>6</v>
      </c>
      <c r="G2" s="9" t="s">
        <v>7</v>
      </c>
      <c r="H2" s="10" t="s">
        <v>8</v>
      </c>
      <c r="I2" s="11" t="s">
        <v>9</v>
      </c>
      <c r="J2" s="12" t="s">
        <v>10</v>
      </c>
      <c r="K2" s="13" t="s">
        <v>11</v>
      </c>
      <c r="L2" s="14" t="s">
        <v>12</v>
      </c>
      <c r="M2" s="15" t="s">
        <v>13</v>
      </c>
      <c r="N2" s="58" t="s">
        <v>14</v>
      </c>
      <c r="O2" s="58"/>
      <c r="P2" s="58"/>
      <c r="Q2" s="16" t="s">
        <v>15</v>
      </c>
      <c r="R2" s="17"/>
      <c r="S2" s="18" t="s">
        <v>16</v>
      </c>
      <c r="T2" s="19" t="s">
        <v>17</v>
      </c>
      <c r="U2" s="20" t="s">
        <v>18</v>
      </c>
      <c r="V2" s="21">
        <f>IF(C4&gt;0,AVERAGE(T4:T10)," ")</f>
        <v>0.66666666666666663</v>
      </c>
      <c r="W2" s="22"/>
      <c r="X2" s="59" t="s">
        <v>19</v>
      </c>
      <c r="Y2" s="60" t="s">
        <v>20</v>
      </c>
      <c r="Z2" s="55" t="s">
        <v>21</v>
      </c>
      <c r="AA2" s="55" t="s">
        <v>22</v>
      </c>
      <c r="AB2" s="55" t="s">
        <v>23</v>
      </c>
      <c r="AC2" s="55" t="s">
        <v>24</v>
      </c>
      <c r="AD2" s="55" t="s">
        <v>25</v>
      </c>
      <c r="AE2" s="55" t="s">
        <v>26</v>
      </c>
      <c r="AF2" s="55" t="s">
        <v>27</v>
      </c>
      <c r="AG2" s="55" t="s">
        <v>28</v>
      </c>
      <c r="AH2" s="55" t="s">
        <v>29</v>
      </c>
      <c r="AI2" s="55" t="s">
        <v>30</v>
      </c>
      <c r="AJ2" s="55" t="s">
        <v>31</v>
      </c>
      <c r="AK2" s="55" t="s">
        <v>32</v>
      </c>
      <c r="AL2" s="55" t="s">
        <v>33</v>
      </c>
      <c r="AM2" s="55" t="s">
        <v>34</v>
      </c>
      <c r="AN2" s="55" t="s">
        <v>35</v>
      </c>
      <c r="AO2" s="55" t="s">
        <v>36</v>
      </c>
      <c r="AP2" s="55" t="s">
        <v>37</v>
      </c>
      <c r="AR2" s="53" t="s">
        <v>38</v>
      </c>
      <c r="AS2" s="53"/>
      <c r="AT2" s="53"/>
      <c r="AU2" s="53"/>
      <c r="AV2" s="53"/>
    </row>
    <row r="3" spans="1:48" ht="15.75" thickBot="1" x14ac:dyDescent="0.3">
      <c r="A3" s="24"/>
      <c r="B3" s="25"/>
      <c r="C3" s="26"/>
      <c r="D3" s="26"/>
      <c r="E3" s="27"/>
      <c r="F3" s="28" t="s">
        <v>39</v>
      </c>
      <c r="G3" s="29"/>
      <c r="H3" s="30"/>
      <c r="I3" s="31"/>
      <c r="J3" s="27"/>
      <c r="K3" s="30"/>
      <c r="L3" s="32" t="s">
        <v>40</v>
      </c>
      <c r="M3" s="25"/>
      <c r="N3" s="25" t="s">
        <v>41</v>
      </c>
      <c r="O3" s="25" t="s">
        <v>42</v>
      </c>
      <c r="P3" s="25" t="s">
        <v>43</v>
      </c>
      <c r="Q3" s="33"/>
      <c r="R3" s="17"/>
      <c r="S3" s="34"/>
      <c r="T3" s="34"/>
      <c r="U3" s="54"/>
      <c r="V3" s="54"/>
      <c r="W3" s="54"/>
      <c r="X3" s="59"/>
      <c r="Y3" s="60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55"/>
      <c r="AL3" s="55"/>
      <c r="AM3" s="55"/>
      <c r="AN3" s="55"/>
      <c r="AO3" s="55"/>
      <c r="AP3" s="55"/>
      <c r="AR3" s="53"/>
      <c r="AS3" s="53"/>
      <c r="AT3" s="53"/>
      <c r="AU3" s="53"/>
      <c r="AV3" s="53"/>
    </row>
    <row r="4" spans="1:48" x14ac:dyDescent="0.25">
      <c r="A4" s="35">
        <v>1</v>
      </c>
      <c r="B4" s="36">
        <v>46036</v>
      </c>
      <c r="C4" s="36">
        <v>46036</v>
      </c>
      <c r="D4" s="37" t="s">
        <v>44</v>
      </c>
      <c r="E4" s="38">
        <v>6082</v>
      </c>
      <c r="F4" s="38">
        <v>100</v>
      </c>
      <c r="G4" s="39">
        <v>25531</v>
      </c>
      <c r="H4" s="40">
        <v>25531</v>
      </c>
      <c r="I4" s="41" t="s">
        <v>45</v>
      </c>
      <c r="J4" s="40">
        <v>3498</v>
      </c>
      <c r="K4" s="40">
        <v>351</v>
      </c>
      <c r="L4" s="42">
        <v>46031</v>
      </c>
      <c r="M4" s="17">
        <v>205</v>
      </c>
      <c r="N4" s="17">
        <v>1</v>
      </c>
      <c r="O4" s="17"/>
      <c r="P4" s="17"/>
      <c r="Q4" s="43" t="s">
        <v>46</v>
      </c>
      <c r="R4" s="44"/>
      <c r="S4" s="34">
        <f>IF(L4&gt;1,B4-L4," ")</f>
        <v>5</v>
      </c>
      <c r="T4" s="34">
        <f>IF(C4&gt;0,NETWORKDAYS(B4,C4,[1]totali!$AN$9:$AN$53)-1," ")</f>
        <v>0</v>
      </c>
      <c r="U4" s="23" t="s">
        <v>47</v>
      </c>
      <c r="V4" s="45"/>
      <c r="W4" s="46"/>
      <c r="X4" s="47">
        <f t="shared" ref="X4:X6" si="0">G4</f>
        <v>25531</v>
      </c>
      <c r="Y4" s="17">
        <v>1.19</v>
      </c>
      <c r="Z4" s="17">
        <v>0.28999999999999998</v>
      </c>
      <c r="AA4" s="17">
        <v>0.08</v>
      </c>
      <c r="AB4" s="17">
        <v>0.62</v>
      </c>
      <c r="AC4" s="17">
        <v>0.83</v>
      </c>
      <c r="AD4" s="17">
        <v>0.18</v>
      </c>
      <c r="AE4" s="17" t="s">
        <v>48</v>
      </c>
      <c r="AF4" s="17">
        <v>0.04</v>
      </c>
      <c r="AG4" s="17">
        <v>0.03</v>
      </c>
      <c r="AH4" s="17" t="s">
        <v>48</v>
      </c>
      <c r="AI4" s="17" t="s">
        <v>48</v>
      </c>
      <c r="AJ4" s="17" t="s">
        <v>48</v>
      </c>
      <c r="AK4" s="17" t="s">
        <v>48</v>
      </c>
      <c r="AL4" s="17" t="s">
        <v>48</v>
      </c>
      <c r="AM4" s="17" t="s">
        <v>48</v>
      </c>
      <c r="AN4" s="2" t="str">
        <f>IF(OR(AL4="/",AG4="/"),"/",AL4+AG4)</f>
        <v>/</v>
      </c>
      <c r="AO4" s="2">
        <f>IF(OR(AB4="/",AD4="/"),"/",AB4+AD4)</f>
        <v>0.8</v>
      </c>
      <c r="AP4" s="2" t="str">
        <f>IF(OR(AJ4="/",AH4="/"),"/",AJ4+AH4)</f>
        <v>/</v>
      </c>
      <c r="AR4">
        <v>111</v>
      </c>
      <c r="AS4">
        <v>305</v>
      </c>
      <c r="AT4">
        <v>371</v>
      </c>
      <c r="AU4">
        <v>12.5</v>
      </c>
      <c r="AV4" s="48">
        <f>AS4/AT4</f>
        <v>0.82210242587601079</v>
      </c>
    </row>
    <row r="5" spans="1:48" x14ac:dyDescent="0.25">
      <c r="A5" s="35">
        <v>2</v>
      </c>
      <c r="B5" s="36">
        <v>46057</v>
      </c>
      <c r="C5" s="36">
        <v>46058</v>
      </c>
      <c r="D5" s="37" t="s">
        <v>44</v>
      </c>
      <c r="E5" s="34">
        <v>6082</v>
      </c>
      <c r="F5" s="34">
        <v>190</v>
      </c>
      <c r="G5" s="39">
        <v>25537</v>
      </c>
      <c r="H5" s="17">
        <v>25537</v>
      </c>
      <c r="I5" s="49" t="s">
        <v>49</v>
      </c>
      <c r="J5" s="17">
        <v>8421</v>
      </c>
      <c r="K5" s="17">
        <v>2</v>
      </c>
      <c r="L5" s="36">
        <v>46057</v>
      </c>
      <c r="M5" s="17">
        <v>206</v>
      </c>
      <c r="N5" s="17">
        <v>1</v>
      </c>
      <c r="O5" s="17"/>
      <c r="P5" s="17"/>
      <c r="Q5" s="43" t="s">
        <v>50</v>
      </c>
      <c r="R5" s="44"/>
      <c r="S5" s="34">
        <f>IF(L5&gt;1,B5-L5," ")</f>
        <v>0</v>
      </c>
      <c r="T5" s="34">
        <f>IF(C5&gt;0,NETWORKDAYS(B5,C5,[1]totali!$AN$9:$AN$53)-1," ")</f>
        <v>1</v>
      </c>
      <c r="U5" s="23" t="s">
        <v>47</v>
      </c>
      <c r="V5" s="45"/>
      <c r="W5" s="2"/>
      <c r="X5" s="47">
        <f t="shared" si="0"/>
        <v>25537</v>
      </c>
      <c r="Y5" s="17">
        <v>0.98</v>
      </c>
      <c r="Z5" s="17">
        <v>0.28999999999999998</v>
      </c>
      <c r="AA5" s="17">
        <v>0.06</v>
      </c>
      <c r="AB5" s="17">
        <v>0.52</v>
      </c>
      <c r="AC5" s="17">
        <v>0.79</v>
      </c>
      <c r="AD5" s="17">
        <v>0.06</v>
      </c>
      <c r="AE5" s="17" t="s">
        <v>48</v>
      </c>
      <c r="AF5" s="17">
        <v>0.04</v>
      </c>
      <c r="AG5" s="17">
        <v>0.03</v>
      </c>
      <c r="AH5" s="17" t="s">
        <v>48</v>
      </c>
      <c r="AI5" s="17" t="s">
        <v>48</v>
      </c>
      <c r="AJ5" s="17" t="s">
        <v>48</v>
      </c>
      <c r="AK5" s="17" t="s">
        <v>48</v>
      </c>
      <c r="AL5" s="17" t="s">
        <v>48</v>
      </c>
      <c r="AM5" s="17" t="s">
        <v>48</v>
      </c>
      <c r="AN5" s="2" t="str">
        <f t="shared" ref="AN5:AN6" si="1">IF(OR(AL5="/",AG5="/"),"/",AL5+AG5)</f>
        <v>/</v>
      </c>
      <c r="AO5" s="2">
        <f t="shared" ref="AO5:AO6" si="2">IF(OR(AB5="/",AD5="/"),"/",AB5+AD5)</f>
        <v>0.58000000000000007</v>
      </c>
      <c r="AP5" s="2" t="str">
        <f t="shared" ref="AP5:AP6" si="3">IF(OR(AJ5="/",AH5="/"),"/",AJ5+AH5)</f>
        <v>/</v>
      </c>
      <c r="AR5">
        <v>104</v>
      </c>
      <c r="AS5">
        <v>335</v>
      </c>
      <c r="AT5">
        <v>364</v>
      </c>
      <c r="AU5">
        <v>10.4</v>
      </c>
      <c r="AV5" s="48">
        <f t="shared" ref="AV5:AV6" si="4">AS5/AT5</f>
        <v>0.92032967032967028</v>
      </c>
    </row>
    <row r="6" spans="1:48" ht="15.75" thickBot="1" x14ac:dyDescent="0.3">
      <c r="A6" s="35">
        <v>3</v>
      </c>
      <c r="B6" s="36">
        <v>46098</v>
      </c>
      <c r="C6" s="36">
        <v>46099</v>
      </c>
      <c r="D6" s="37" t="s">
        <v>44</v>
      </c>
      <c r="E6" s="50">
        <v>6082</v>
      </c>
      <c r="F6" s="50">
        <v>190</v>
      </c>
      <c r="G6" s="51" t="s">
        <v>51</v>
      </c>
      <c r="H6" s="17">
        <v>26088</v>
      </c>
      <c r="I6" s="50">
        <v>75724077</v>
      </c>
      <c r="J6" s="2">
        <v>18945</v>
      </c>
      <c r="K6" s="17">
        <v>37</v>
      </c>
      <c r="L6" s="36">
        <v>46097</v>
      </c>
      <c r="M6" s="17">
        <v>206</v>
      </c>
      <c r="N6" s="17">
        <v>1</v>
      </c>
      <c r="O6" s="17"/>
      <c r="P6" s="17"/>
      <c r="Q6" s="52" t="s">
        <v>52</v>
      </c>
      <c r="R6" s="44"/>
      <c r="S6" s="34">
        <f>IF(L6&gt;1,B6-L6," ")</f>
        <v>1</v>
      </c>
      <c r="T6" s="34">
        <f>IF(C6&gt;0,NETWORKDAYS(B6,C6,[1]totali!$AN$9:$AN$53)-1," ")</f>
        <v>1</v>
      </c>
      <c r="U6" s="23" t="s">
        <v>47</v>
      </c>
      <c r="V6" s="45"/>
      <c r="X6" s="47" t="str">
        <f t="shared" si="0"/>
        <v>26088</v>
      </c>
      <c r="Y6" s="17">
        <v>1.02</v>
      </c>
      <c r="Z6" s="17">
        <v>0.3</v>
      </c>
      <c r="AA6" s="17">
        <v>7.0000000000000007E-2</v>
      </c>
      <c r="AB6" s="17">
        <v>0.55000000000000004</v>
      </c>
      <c r="AC6" s="17">
        <v>0.74</v>
      </c>
      <c r="AD6" s="17">
        <v>0.13</v>
      </c>
      <c r="AE6" s="17" t="s">
        <v>48</v>
      </c>
      <c r="AF6" s="17">
        <v>0.03</v>
      </c>
      <c r="AG6" s="17">
        <v>0.03</v>
      </c>
      <c r="AH6" s="17" t="s">
        <v>48</v>
      </c>
      <c r="AI6" s="17" t="s">
        <v>48</v>
      </c>
      <c r="AJ6" s="17" t="s">
        <v>48</v>
      </c>
      <c r="AK6" s="17" t="s">
        <v>48</v>
      </c>
      <c r="AL6" s="17" t="s">
        <v>48</v>
      </c>
      <c r="AM6" s="17" t="s">
        <v>48</v>
      </c>
      <c r="AN6" s="2" t="str">
        <f t="shared" si="1"/>
        <v>/</v>
      </c>
      <c r="AO6" s="2">
        <f t="shared" si="2"/>
        <v>0.68</v>
      </c>
      <c r="AP6" s="2" t="str">
        <f t="shared" si="3"/>
        <v>/</v>
      </c>
      <c r="AR6">
        <v>106</v>
      </c>
      <c r="AS6">
        <v>332</v>
      </c>
      <c r="AT6">
        <v>365</v>
      </c>
      <c r="AU6">
        <v>10.5</v>
      </c>
      <c r="AV6" s="48">
        <f t="shared" si="4"/>
        <v>0.90958904109589045</v>
      </c>
    </row>
  </sheetData>
  <mergeCells count="24">
    <mergeCell ref="A1:S1"/>
    <mergeCell ref="AF1:AI1"/>
    <mergeCell ref="N2:P2"/>
    <mergeCell ref="X2:X3"/>
    <mergeCell ref="Y2:Y3"/>
    <mergeCell ref="Z2:Z3"/>
    <mergeCell ref="AA2:AA3"/>
    <mergeCell ref="AB2:AB3"/>
    <mergeCell ref="AC2:AC3"/>
    <mergeCell ref="AD2:AD3"/>
    <mergeCell ref="AR2:AV3"/>
    <mergeCell ref="U3:W3"/>
    <mergeCell ref="AK2:AK3"/>
    <mergeCell ref="AL2:AL3"/>
    <mergeCell ref="AM2:AM3"/>
    <mergeCell ref="AN2:AN3"/>
    <mergeCell ref="AO2:AO3"/>
    <mergeCell ref="AP2:AP3"/>
    <mergeCell ref="AE2:AE3"/>
    <mergeCell ref="AF2:AF3"/>
    <mergeCell ref="AG2:AG3"/>
    <mergeCell ref="AH2:AH3"/>
    <mergeCell ref="AI2:AI3"/>
    <mergeCell ref="AJ2:AJ3"/>
  </mergeCells>
  <conditionalFormatting sqref="T4:T6">
    <cfRule type="cellIs" dxfId="1" priority="2" stopIfTrue="1" operator="greaterThan">
      <formula>4</formula>
    </cfRule>
  </conditionalFormatting>
  <conditionalFormatting sqref="V2">
    <cfRule type="cellIs" dxfId="0" priority="1" stopIfTrue="1" operator="greaterThan">
      <formula>2</formula>
    </cfRule>
  </conditionalFormatting>
  <hyperlinks>
    <hyperlink ref="AF1:AI1" r:id="rId1" display="COMPILATORE CERTIFICATI" xr:uid="{0CF5D74E-3BEB-4443-8094-C4B37BBD08B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Silvano Rech</dc:creator>
  <cp:lastModifiedBy>Silvano Rech</cp:lastModifiedBy>
  <dcterms:created xsi:type="dcterms:W3CDTF">2026-04-02T07:04:47Z</dcterms:created>
  <dcterms:modified xsi:type="dcterms:W3CDTF">2026-04-02T07:12:40Z</dcterms:modified>
</cp:coreProperties>
</file>